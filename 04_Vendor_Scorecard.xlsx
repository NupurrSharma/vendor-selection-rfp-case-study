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oring Legend" sheetId="1" state="visible" r:id="rId3"/>
    <sheet name="Scorecard" sheetId="2" state="visible" r:id="rId4"/>
    <sheet name="Recommendation Mem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<sst xmlns="http://schemas.openxmlformats.org/spreadsheetml/2006/main" count="43" uniqueCount="43">
  <si>
    <t xml:space="preserve">Vendor Scorecard — Scoring Legend</t>
  </si>
  <si>
    <t xml:space="preserve">Project Horizon | Applied consistently by the Business Analyst across all three vendor demos and proposal reviews</t>
  </si>
  <si>
    <t xml:space="preserve">Score</t>
  </si>
  <si>
    <t xml:space="preserve">Meaning</t>
  </si>
  <si>
    <t xml:space="preserve">Applied When</t>
  </si>
  <si>
    <t xml:space="preserve">Exceeds requirement</t>
  </si>
  <si>
    <t xml:space="preserve">Proposal meets the requirement and offers a materially better approach than asked for</t>
  </si>
  <si>
    <t xml:space="preserve">Fully meets requirement</t>
  </si>
  <si>
    <t xml:space="preserve">Requirement is met as specified, no material gap</t>
  </si>
  <si>
    <t xml:space="preserve">Meets with minor gaps</t>
  </si>
  <si>
    <t xml:space="preserve">Requirement is substantially met; a workaround or minor customization is needed</t>
  </si>
  <si>
    <t xml:space="preserve">Partially meets requirement</t>
  </si>
  <si>
    <t xml:space="preserve">Significant functionality gap; a workaround exists but adds real operational cost</t>
  </si>
  <si>
    <t xml:space="preserve">Does not meet requirement</t>
  </si>
  <si>
    <t xml:space="preserve">No credible path to meeting the requirement, or vendor did not address it</t>
  </si>
  <si>
    <t xml:space="preserve">Per the RFP, a vendor that cannot meet a Mandatory (M) requirement receives the lowest score (1) for that category and is flagged as a red flag regardless of its weighted average — see the Recommendation Memo tab for how this applied to Vendor C's inventory/warehouse score.</t>
  </si>
  <si>
    <t xml:space="preserve">Vendor Scorecard — Weighted Evaluation</t>
  </si>
  <si>
    <t xml:space="preserve">Scores 1–5 per Scoring Legend tab. Weights carried over from RFP Document, Section 6.</t>
  </si>
  <si>
    <t xml:space="preserve">Evaluation Category</t>
  </si>
  <si>
    <t xml:space="preserve">Weight</t>
  </si>
  <si>
    <t xml:space="preserve">Vendor A —
NexusWMS</t>
  </si>
  <si>
    <t xml:space="preserve">Vendor B —
Warehouse360</t>
  </si>
  <si>
    <t xml:space="preserve">Vendor C —
StockFlow ERP-Lite</t>
  </si>
  <si>
    <t xml:space="preserve">Inventory &amp; Warehouse Operations</t>
  </si>
  <si>
    <t xml:space="preserve">Procurement &amp; Vendor Management</t>
  </si>
  <si>
    <t xml:space="preserve">Finance Integration &amp; Reporting</t>
  </si>
  <si>
    <t xml:space="preserve">Security &amp; Access Control</t>
  </si>
  <si>
    <t xml:space="preserve">Technical Architecture &amp; Integration</t>
  </si>
  <si>
    <t xml:space="preserve">Implementation, Support &amp; Vendor Viability</t>
  </si>
  <si>
    <t xml:space="preserve">Weight check (should total 100%)</t>
  </si>
  <si>
    <t xml:space="preserve">Weighted Score by Category</t>
  </si>
  <si>
    <t xml:space="preserve">Total Weighted Score (out of 5.0)</t>
  </si>
  <si>
    <t xml:space="preserve">Rank</t>
  </si>
  <si>
    <t xml:space="preserve">Mandatory-requirement red flag (score of 1 in Inventory &amp; Warehouse Ops)</t>
  </si>
  <si>
    <t xml:space="preserve">Blue cells are Business-Analyst input scores (from proposal review and vendor demos). Black cells are formula outputs.</t>
  </si>
  <si>
    <t xml:space="preserve">Recommendation Memo — Vendor Selection</t>
  </si>
  <si>
    <t xml:space="preserve">To: Project Horizon Steering Committee</t>
  </si>
  <si>
    <t xml:space="preserve">From: Nupur Sharma, Business Analyst</t>
  </si>
  <si>
    <t xml:space="preserve">Re: Vendor scorecard outcome and shortlist recommendation</t>
  </si>
  <si>
    <t xml:space="preserve">Warehouse360 (Vendor B) comes out on top on the weighted scorecard at 4.40 out of 5.0, ahead of NexusWMS (4.15) and well clear of StockFlow ERP-Lite (2.50). The gap is driven mainly by Warehouse360's inventory and warehouse-operations score, where its native barcode/handheld module and its reference customers' feedback on scan reliability stood out during the demo.</t>
  </si>
  <si>
    <t xml:space="preserve">StockFlow ERP-Lite's score is pulled down deliberately by a mandatory-requirement failure: it has no native barcode/scanning module (FR-02), which is one of the two requirements every stakeholder flagged independently during the current-state interviews. Its lower price does not offset that gap for this project, so it is not recommended to proceed past shortlist.</t>
  </si>
  <si>
    <t xml:space="preserve">NexusWMS is a strong second choice — it actually scores higher than Warehouse360 on Security and Technical Architecture, reflecting its larger engineering team and more mature API. It loses ground on Implementation &amp; Vendor Viability, where its proposed delivery team had no direct manufacturing-sector reference we could independently verify in the time available (Warehouse360 provided two, both contactable).</t>
  </si>
  <si>
    <t xml:space="preserve">Recommendation: proceed to contract negotiation with Warehouse360 as the primary vendor, with NexusWMS held as the fallback if final due diligence (security audit, contract-terms review) raises anything that changes the picture. This recommendation should be read alongside the Business Case &amp; Cost-Benefit Analysis, where Warehouse360 also lands with a stronger 5-year NPV and shorter payback period than NexusWMS, though StockFlow ERP-Lite still leads on cost alone — which is exactly why the functional scorecard, not price, is the deciding input here.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</si>
</sst>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0.00"/>
    <numFmt numFmtId="167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Cambria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CE6F1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5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23.85" hidden="false" customHeight="false" outlineLevel="0" collapsed="false">
      <c r="A5" s="4" t="n">
        <v>5</v>
      </c>
      <c r="B5" s="4" t="s">
        <v>5</v>
      </c>
      <c r="C5" s="4" t="s">
        <v>6</v>
      </c>
    </row>
    <row r="6" customFormat="false" ht="15" hidden="false" customHeight="false" outlineLevel="0" collapsed="false">
      <c r="A6" s="4" t="n">
        <v>4</v>
      </c>
      <c r="B6" s="4" t="s">
        <v>7</v>
      </c>
      <c r="C6" s="4" t="s">
        <v>8</v>
      </c>
    </row>
    <row r="7" customFormat="false" ht="23.85" hidden="false" customHeight="false" outlineLevel="0" collapsed="false">
      <c r="A7" s="4" t="n">
        <v>3</v>
      </c>
      <c r="B7" s="4" t="s">
        <v>9</v>
      </c>
      <c r="C7" s="4" t="s">
        <v>10</v>
      </c>
    </row>
    <row r="8" customFormat="false" ht="23.85" hidden="false" customHeight="false" outlineLevel="0" collapsed="false">
      <c r="A8" s="4" t="n">
        <v>2</v>
      </c>
      <c r="B8" s="4" t="s">
        <v>11</v>
      </c>
      <c r="C8" s="4" t="s">
        <v>12</v>
      </c>
    </row>
    <row r="9" customFormat="false" ht="23.85" hidden="false" customHeight="false" outlineLevel="0" collapsed="false">
      <c r="A9" s="4" t="n">
        <v>1</v>
      </c>
      <c r="B9" s="4" t="s">
        <v>13</v>
      </c>
      <c r="C9" s="4" t="s">
        <v>14</v>
      </c>
    </row>
    <row r="11" customFormat="false" ht="22.35" hidden="false" customHeight="true" outlineLevel="0" collapsed="false">
      <c r="A11" s="5" t="s">
        <v>15</v>
      </c>
      <c r="B11" s="5"/>
      <c r="C11" s="5"/>
    </row>
  </sheetData>
  <mergeCells count="1">
    <mergeCell ref="A11:C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5" min="3" style="0" width="14"/>
  </cols>
  <sheetData>
    <row r="1" customFormat="false" ht="17.35" hidden="false" customHeight="false" outlineLevel="0" collapsed="false">
      <c r="A1" s="1" t="s">
        <v>16</v>
      </c>
    </row>
    <row r="2" customFormat="false" ht="15" hidden="false" customHeight="false" outlineLevel="0" collapsed="false">
      <c r="A2" s="2" t="s">
        <v>17</v>
      </c>
    </row>
    <row r="4" customFormat="false" ht="35.05" hidden="false" customHeight="false" outlineLevel="0" collapsed="false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</row>
    <row r="5" customFormat="false" ht="15" hidden="false" customHeight="false" outlineLevel="0" collapsed="false">
      <c r="A5" s="6" t="s">
        <v>23</v>
      </c>
      <c r="B5" s="7" t="n">
        <v>0.25</v>
      </c>
      <c r="C5" s="8" t="n">
        <v>4</v>
      </c>
      <c r="D5" s="8" t="n">
        <v>5</v>
      </c>
      <c r="E5" s="8" t="n">
        <v>1</v>
      </c>
    </row>
    <row r="6" customFormat="false" ht="15" hidden="false" customHeight="false" outlineLevel="0" collapsed="false">
      <c r="A6" s="6" t="s">
        <v>24</v>
      </c>
      <c r="B6" s="7" t="n">
        <v>0.15</v>
      </c>
      <c r="C6" s="8" t="n">
        <v>4</v>
      </c>
      <c r="D6" s="8" t="n">
        <v>4</v>
      </c>
      <c r="E6" s="8" t="n">
        <v>3</v>
      </c>
    </row>
    <row r="7" customFormat="false" ht="15" hidden="false" customHeight="false" outlineLevel="0" collapsed="false">
      <c r="A7" s="6" t="s">
        <v>25</v>
      </c>
      <c r="B7" s="7" t="n">
        <v>0.15</v>
      </c>
      <c r="C7" s="8" t="n">
        <v>4</v>
      </c>
      <c r="D7" s="8" t="n">
        <v>4</v>
      </c>
      <c r="E7" s="8" t="n">
        <v>3</v>
      </c>
    </row>
    <row r="8" customFormat="false" ht="15" hidden="false" customHeight="false" outlineLevel="0" collapsed="false">
      <c r="A8" s="6" t="s">
        <v>26</v>
      </c>
      <c r="B8" s="7" t="n">
        <v>0.15</v>
      </c>
      <c r="C8" s="8" t="n">
        <v>5</v>
      </c>
      <c r="D8" s="8" t="n">
        <v>4</v>
      </c>
      <c r="E8" s="8" t="n">
        <v>3</v>
      </c>
    </row>
    <row r="9" customFormat="false" ht="15" hidden="false" customHeight="false" outlineLevel="0" collapsed="false">
      <c r="A9" s="6" t="s">
        <v>27</v>
      </c>
      <c r="B9" s="7" t="n">
        <v>0.15</v>
      </c>
      <c r="C9" s="8" t="n">
        <v>5</v>
      </c>
      <c r="D9" s="8" t="n">
        <v>4</v>
      </c>
      <c r="E9" s="8" t="n">
        <v>2</v>
      </c>
    </row>
    <row r="10" customFormat="false" ht="15" hidden="false" customHeight="false" outlineLevel="0" collapsed="false">
      <c r="A10" s="6" t="s">
        <v>28</v>
      </c>
      <c r="B10" s="7" t="n">
        <v>0.15</v>
      </c>
      <c r="C10" s="8" t="n">
        <v>3</v>
      </c>
      <c r="D10" s="8" t="n">
        <v>5</v>
      </c>
      <c r="E10" s="8" t="n">
        <v>4</v>
      </c>
    </row>
    <row r="11" customFormat="false" ht="15" hidden="false" customHeight="false" outlineLevel="0" collapsed="false">
      <c r="A11" s="9" t="s">
        <v>29</v>
      </c>
      <c r="B11" s="10" t="n">
        <f aca="false">SUM(B5:B10)</f>
        <v>1</v>
      </c>
    </row>
    <row r="13" customFormat="false" ht="15" hidden="false" customHeight="false" outlineLevel="0" collapsed="false">
      <c r="A13" s="3" t="s">
        <v>30</v>
      </c>
      <c r="B13" s="3"/>
      <c r="C13" s="3"/>
      <c r="D13" s="3"/>
      <c r="E13" s="3"/>
    </row>
    <row r="14" customFormat="false" ht="15" hidden="false" customHeight="false" outlineLevel="0" collapsed="false">
      <c r="A14" s="6" t="str">
        <f aca="false">A5</f>
        <v>Inventory &amp; Warehouse Operations</v>
      </c>
      <c r="B14" s="6"/>
      <c r="C14" s="11" t="n">
        <f aca="false">C5*B5</f>
        <v>1</v>
      </c>
      <c r="D14" s="11" t="n">
        <f aca="false">D5*B5</f>
        <v>1.25</v>
      </c>
      <c r="E14" s="11" t="n">
        <f aca="false">E5*B5</f>
        <v>0.25</v>
      </c>
    </row>
    <row r="15" customFormat="false" ht="15" hidden="false" customHeight="false" outlineLevel="0" collapsed="false">
      <c r="A15" s="6" t="str">
        <f aca="false">A6</f>
        <v>Procurement &amp; Vendor Management</v>
      </c>
      <c r="B15" s="6"/>
      <c r="C15" s="11" t="n">
        <f aca="false">C6*B6</f>
        <v>0.6</v>
      </c>
      <c r="D15" s="11" t="n">
        <f aca="false">D6*B6</f>
        <v>0.6</v>
      </c>
      <c r="E15" s="11" t="n">
        <f aca="false">E6*B6</f>
        <v>0.45</v>
      </c>
    </row>
    <row r="16" customFormat="false" ht="15" hidden="false" customHeight="false" outlineLevel="0" collapsed="false">
      <c r="A16" s="6" t="str">
        <f aca="false">A7</f>
        <v>Finance Integration &amp; Reporting</v>
      </c>
      <c r="B16" s="6"/>
      <c r="C16" s="11" t="n">
        <f aca="false">C7*B7</f>
        <v>0.6</v>
      </c>
      <c r="D16" s="11" t="n">
        <f aca="false">D7*B7</f>
        <v>0.6</v>
      </c>
      <c r="E16" s="11" t="n">
        <f aca="false">E7*B7</f>
        <v>0.45</v>
      </c>
    </row>
    <row r="17" customFormat="false" ht="15" hidden="false" customHeight="false" outlineLevel="0" collapsed="false">
      <c r="A17" s="6" t="str">
        <f aca="false">A8</f>
        <v>Security &amp; Access Control</v>
      </c>
      <c r="B17" s="6"/>
      <c r="C17" s="11" t="n">
        <f aca="false">C8*B8</f>
        <v>0.75</v>
      </c>
      <c r="D17" s="11" t="n">
        <f aca="false">D8*B8</f>
        <v>0.6</v>
      </c>
      <c r="E17" s="11" t="n">
        <f aca="false">E8*B8</f>
        <v>0.45</v>
      </c>
    </row>
    <row r="18" customFormat="false" ht="15" hidden="false" customHeight="false" outlineLevel="0" collapsed="false">
      <c r="A18" s="6" t="str">
        <f aca="false">A9</f>
        <v>Technical Architecture &amp; Integration</v>
      </c>
      <c r="B18" s="6"/>
      <c r="C18" s="11" t="n">
        <f aca="false">C9*B9</f>
        <v>0.75</v>
      </c>
      <c r="D18" s="11" t="n">
        <f aca="false">D9*B9</f>
        <v>0.6</v>
      </c>
      <c r="E18" s="11" t="n">
        <f aca="false">E9*B9</f>
        <v>0.3</v>
      </c>
    </row>
    <row r="19" customFormat="false" ht="15" hidden="false" customHeight="false" outlineLevel="0" collapsed="false">
      <c r="A19" s="6" t="str">
        <f aca="false">A10</f>
        <v>Implementation, Support &amp; Vendor Viability</v>
      </c>
      <c r="B19" s="6"/>
      <c r="C19" s="11" t="n">
        <f aca="false">C10*B10</f>
        <v>0.45</v>
      </c>
      <c r="D19" s="11" t="n">
        <f aca="false">D10*B10</f>
        <v>0.75</v>
      </c>
      <c r="E19" s="11" t="n">
        <f aca="false">E10*B10</f>
        <v>0.6</v>
      </c>
    </row>
    <row r="21" customFormat="false" ht="15" hidden="false" customHeight="false" outlineLevel="0" collapsed="false">
      <c r="A21" s="12" t="s">
        <v>31</v>
      </c>
      <c r="B21" s="12"/>
      <c r="C21" s="13" t="n">
        <f aca="false">SUM(C14:C19)</f>
        <v>4.15</v>
      </c>
      <c r="D21" s="13" t="n">
        <f aca="false">SUM(D14:D19)</f>
        <v>4.4</v>
      </c>
      <c r="E21" s="13" t="n">
        <f aca="false">SUM(E14:E19)</f>
        <v>2.5</v>
      </c>
    </row>
    <row r="22" customFormat="false" ht="15" hidden="false" customHeight="false" outlineLevel="0" collapsed="false">
      <c r="A22" s="14" t="s">
        <v>32</v>
      </c>
      <c r="B22" s="14"/>
      <c r="C22" s="15" t="n">
        <f aca="false">RANK(C21,$C$21:$E$21)</f>
        <v>2</v>
      </c>
      <c r="D22" s="15" t="n">
        <f aca="false">RANK(D21,$C$21:$E$21)</f>
        <v>1</v>
      </c>
      <c r="E22" s="15" t="n">
        <f aca="false">RANK(E21,$C$21:$E$21)</f>
        <v>3</v>
      </c>
    </row>
    <row r="23" customFormat="false" ht="15" hidden="false" customHeight="false" outlineLevel="0" collapsed="false">
      <c r="A23" s="16"/>
      <c r="B23" s="16"/>
      <c r="C23" s="17"/>
      <c r="D23" s="17"/>
      <c r="E23" s="17"/>
    </row>
    <row r="24" customFormat="false" ht="15" hidden="false" customHeight="false" outlineLevel="0" collapsed="false">
      <c r="A24" s="0" t="s">
        <v>33</v>
      </c>
      <c r="C24" s="0" t="str">
        <f aca="false">IF(C5=1,"YES","No")</f>
        <v>No</v>
      </c>
      <c r="D24" s="0" t="str">
        <f aca="false">IF(D5=1,"YES","No")</f>
        <v>No</v>
      </c>
      <c r="E24" s="0" t="str">
        <f aca="false">IF(E5=1,"YES","No")</f>
        <v>YES</v>
      </c>
    </row>
    <row r="26" customFormat="false" ht="15" hidden="false" customHeight="false" outlineLevel="0" collapsed="false">
      <c r="A26" s="18" t="s">
        <v>34</v>
      </c>
      <c r="B26" s="18"/>
      <c r="C26" s="18"/>
      <c r="D26" s="18"/>
      <c r="E26" s="18"/>
    </row>
  </sheetData>
  <mergeCells count="1">
    <mergeCell ref="A26:E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35</v>
      </c>
    </row>
    <row r="3" customFormat="false" ht="15" hidden="false" customHeight="false" outlineLevel="0" collapsed="false">
      <c r="A3" s="19" t="s">
        <v>36</v>
      </c>
    </row>
    <row r="4" customFormat="false" ht="15" hidden="false" customHeight="false" outlineLevel="0" collapsed="false">
      <c r="A4" s="19" t="s">
        <v>37</v>
      </c>
    </row>
    <row r="5" customFormat="false" ht="15" hidden="false" customHeight="false" outlineLevel="0" collapsed="false">
      <c r="A5" s="20" t="s">
        <v>38</v>
      </c>
    </row>
    <row r="7" customFormat="false" ht="75" hidden="false" customHeight="true" outlineLevel="0" collapsed="false">
      <c r="A7" s="21" t="s">
        <v>39</v>
      </c>
    </row>
    <row r="9" customFormat="false" ht="75" hidden="false" customHeight="true" outlineLevel="0" collapsed="false">
      <c r="A9" s="21" t="s">
        <v>40</v>
      </c>
    </row>
    <row r="11" customFormat="false" ht="75" hidden="false" customHeight="true" outlineLevel="0" collapsed="false">
      <c r="A11" s="21" t="s">
        <v>41</v>
      </c>
    </row>
    <row r="13" customFormat="false" ht="75" hidden="false" customHeight="true" outlineLevel="0" collapsed="false">
      <c r="A13" s="21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2026-09-28T05:07:25Z</dcterms:created>
  <dc:creator>openpyxl</dc:creator>
  <dc:description/>
  <dc:language>en-US</dc:language>
  <cp:lastModifiedBy/>
  <dcterms:modified xsi:type="dcterms:W3CDTF">2026-09-28T05:07:25Z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