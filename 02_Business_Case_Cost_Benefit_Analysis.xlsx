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Benefit Quantification" sheetId="2" state="visible" r:id="rId4"/>
    <sheet name="Cost-Benefit Analysis" sheetId="3" state="visible" r:id="rId5"/>
    <sheet name="Business Case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<sst xmlns="http://schemas.openxmlformats.org/spreadsheetml/2006/main" count="105" uniqueCount="91">
  <si>
    <t xml:space="preserve">Project Horizon — Business Case Assumptions</t>
  </si>
  <si>
    <t xml:space="preserve">Meridian Manufacturing &amp; Logistics Pvt. Ltd. | WMS &amp; Procurement Replacement</t>
  </si>
  <si>
    <t xml:space="preserve">Assumption</t>
  </si>
  <si>
    <t xml:space="preserve">Value</t>
  </si>
  <si>
    <t xml:space="preserve">Basis / Note</t>
  </si>
  <si>
    <t xml:space="preserve">Discount rate (WACC proxy)</t>
  </si>
  <si>
    <t xml:space="preserve">Finance-provided hurdle rate for capex projects of this size</t>
  </si>
  <si>
    <t xml:space="preserve">Analysis period</t>
  </si>
  <si>
    <t xml:space="preserve">Standard evaluation horizon for a mid-market platform decision</t>
  </si>
  <si>
    <t xml:space="preserve">Currency</t>
  </si>
  <si>
    <t xml:space="preserve">INR (₹ Lakh)</t>
  </si>
  <si>
    <t xml:space="preserve">1 Lakh = ₹100,000; all figures below are in ₹ Lakh unless stated</t>
  </si>
  <si>
    <t xml:space="preserve">Blended finance labour cost</t>
  </si>
  <si>
    <t xml:space="preserve">₹ per hour, used to cost reconciliation effort (Finance interview)</t>
  </si>
  <si>
    <t xml:space="preserve">Warehouse downtime cost (peak week)</t>
  </si>
  <si>
    <t xml:space="preserve">₹ Lakh per unplanned outage during a peak dispatch week (Ops estimate)</t>
  </si>
  <si>
    <t xml:space="preserve">Current sustaining/workaround cost (status quo)</t>
  </si>
  <si>
    <t xml:space="preserve">₹ Lakh/year — IT contractor patches, manual reconciliation OT, paper forms/printing, spot-audit remediation</t>
  </si>
  <si>
    <t xml:space="preserve">All figures below are Business Analyst estimates built from stakeholder interviews (see Current-State Assessment) and indicative vendor pricing gathered during market scan; they are inputs for relative comparison, not vendor-quoted commercial offers.</t>
  </si>
  <si>
    <t xml:space="preserve">Estimated Annual Benefit — Full System (Steady State)</t>
  </si>
  <si>
    <t xml:space="preserve">Applies once a replacement platform is fully live; used consistently across Build and Buy options</t>
  </si>
  <si>
    <t xml:space="preserve">Category</t>
  </si>
  <si>
    <t xml:space="preserve">Driver (from Current-State pain points)</t>
  </si>
  <si>
    <t xml:space="preserve">Baseline Cost/Risk Today (₹ Lakh/yr)</t>
  </si>
  <si>
    <t xml:space="preserve">Est. Annual Benefit (₹ Lakh/yr)</t>
  </si>
  <si>
    <t xml:space="preserve">Realized By</t>
  </si>
  <si>
    <t xml:space="preserve">Assumption / Method</t>
  </si>
  <si>
    <t xml:space="preserve">Finance reconciliation labour</t>
  </si>
  <si>
    <t xml:space="preserve">PP-03</t>
  </si>
  <si>
    <t xml:space="preserve">All options</t>
  </si>
  <si>
    <t xml:space="preserve">25 hrs/month saved x ₹450/hr x 12, less residual review effort</t>
  </si>
  <si>
    <t xml:space="preserve">Reduced stock-outs / expedited freight</t>
  </si>
  <si>
    <t xml:space="preserve">PP-01, PP-04</t>
  </si>
  <si>
    <t xml:space="preserve">All options (full effect needs barcode)</t>
  </si>
  <si>
    <t xml:space="preserve">Ops estimate of annual expedite/air-freight spend triggered by inventory-visibility gaps; ~75% addressable</t>
  </si>
  <si>
    <t xml:space="preserve">Dispatch SLA / demurrage avoidance</t>
  </si>
  <si>
    <t xml:space="preserve">PP-05</t>
  </si>
  <si>
    <t xml:space="preserve">Peak-week slowdowns causing missed dispatch windows, per logistics team's 2025 SLA breach log</t>
  </si>
  <si>
    <t xml:space="preserve">Warehouse labour productivity (barcode/handheld)</t>
  </si>
  <si>
    <t xml:space="preserve">PP-04</t>
  </si>
  <si>
    <t xml:space="preserve">Vendors/Build with scanning module</t>
  </si>
  <si>
    <t xml:space="preserve">Reduced re-counts and pick errors; scaled down for options without native scanning support</t>
  </si>
  <si>
    <t xml:space="preserve">Procurement cycle time &amp; invoice matching</t>
  </si>
  <si>
    <t xml:space="preserve">PP-06, PP-07</t>
  </si>
  <si>
    <t xml:space="preserve">Faster PR-to-PO approval and 3-way match reduces processing hours and short-pay disputes</t>
  </si>
  <si>
    <t xml:space="preserve">Audit / compliance remediation</t>
  </si>
  <si>
    <t xml:space="preserve">PP-02, PP-09</t>
  </si>
  <si>
    <t xml:space="preserve">Avoided cost of repeat internal-audit findings and manual evidence-gathering for SOX-style review</t>
  </si>
  <si>
    <t xml:space="preserve">IT unplanned-downtime avoidance</t>
  </si>
  <si>
    <t xml:space="preserve">PP-08</t>
  </si>
  <si>
    <t xml:space="preserve">One fewer 12–14 hr peak-week outage per year, valued at downtime-cost assumption x hours</t>
  </si>
  <si>
    <t xml:space="preserve">Total</t>
  </si>
  <si>
    <t xml:space="preserve">Note: StockFlow ERP-Lite (Vendor C) has no native barcode/scanning module, so the warehouse-labour-productivity line is reduced by 60% for that option on the Cost-Benefit Analysis tab — see Vendor Notes there.</t>
  </si>
  <si>
    <t xml:space="preserve">Cost-Benefit Analysis — Status Quo vs. Build vs. Buy (3 Vendor Options)</t>
  </si>
  <si>
    <t xml:space="preserve">All figures ₹ Lakh. Negative = net cash outflow. Year 0 = implementation year.</t>
  </si>
  <si>
    <t xml:space="preserve">Line Item</t>
  </si>
  <si>
    <t xml:space="preserve">Status Quo
(Do Nothing)</t>
  </si>
  <si>
    <t xml:space="preserve">Build In-House</t>
  </si>
  <si>
    <t xml:space="preserve">Vendor A —
NexusWMS</t>
  </si>
  <si>
    <t xml:space="preserve">Vendor B —
Warehouse360</t>
  </si>
  <si>
    <t xml:space="preserve">Vendor C —
StockFlow ERP-Lite</t>
  </si>
  <si>
    <t xml:space="preserve">Year 0 — Implementation / Capex Cost</t>
  </si>
  <si>
    <t xml:space="preserve">Annual Opex / Subscription (Yrs 1–5)</t>
  </si>
  <si>
    <t xml:space="preserve">Annual Benefit, Steady State (Yrs 2–5 / Yr 1 for vendors)</t>
  </si>
  <si>
    <t xml:space="preserve">Vendor Notes: Build In-House benefit phases in — only 40% realized in Year 1 (partial rollout) before reaching full run-rate in Year 2. Vendor B (Warehouse360) benefit is trimmed 6% for a lighter analytics module. Vendor C (StockFlow ERP-Lite) has no native barcode module, so 60% of the warehouse-labour-productivity benefit (row 9 on Benefit Quantification) is removed.</t>
  </si>
  <si>
    <t xml:space="preserve">Net Cash Flow by Year</t>
  </si>
  <si>
    <t xml:space="preserve">Year 0</t>
  </si>
  <si>
    <t xml:space="preserve">Year 1</t>
  </si>
  <si>
    <t xml:space="preserve">Year 2</t>
  </si>
  <si>
    <t xml:space="preserve">Year 3</t>
  </si>
  <si>
    <t xml:space="preserve">Year 4</t>
  </si>
  <si>
    <t xml:space="preserve">Year 5</t>
  </si>
  <si>
    <t xml:space="preserve">Cumulative Net Cash Flow</t>
  </si>
  <si>
    <t xml:space="preserve">Cumulative thru Yr 0</t>
  </si>
  <si>
    <t xml:space="preserve">Cumulative thru Yr 1</t>
  </si>
  <si>
    <t xml:space="preserve">Cumulative thru Yr 2</t>
  </si>
  <si>
    <t xml:space="preserve">Cumulative thru Yr 3</t>
  </si>
  <si>
    <t xml:space="preserve">Cumulative thru Yr 4</t>
  </si>
  <si>
    <t xml:space="preserve">Cumulative thru Yr 5</t>
  </si>
  <si>
    <t xml:space="preserve">NPV @ discount rate (5-yr)</t>
  </si>
  <si>
    <t xml:space="preserve">Payback Period (years)</t>
  </si>
  <si>
    <t xml:space="preserve">Blue figures are Business-Analyst inputs (implementation cost, opex, benefit adjustment factors). Black figures are formula outputs and will recalculate if any blue input changes.</t>
  </si>
  <si>
    <t xml:space="preserve">Business Case Summary — Project Horizon</t>
  </si>
  <si>
    <t xml:space="preserve">Problem</t>
  </si>
  <si>
    <t xml:space="preserve">LogiTrack Classic is a discontinued, single-server on-prem system carrying real business-continuity risk, and it forces Finance, Warehouse, and Procurement into manual, error-prone workarounds documented in the Current-State Assessment.</t>
  </si>
  <si>
    <t xml:space="preserve">Options considered</t>
  </si>
  <si>
    <t xml:space="preserve">Do nothing (absorb ongoing workaround cost and risk); build a custom platform in-house; or buy from one of three shortlisted vendors — NexusWMS (premium, cloud-native), Warehouse360 (mid-market), and StockFlow ERP-Lite (lower-cost, fewer modules).</t>
  </si>
  <si>
    <t xml:space="preserve">Recommendation</t>
  </si>
  <si>
    <t xml:space="preserve">Buy. Building in-house does not pay back inside the 5-year window (NPV of about -₹60 lakh at the 12% hurdle rate) because of the ₹150 lakh up-front build cost, the ongoing maintenance load and a partial-benefit first year; IT's own estimate is also an 18-month build with a small internal team, which adds delivery risk on top of the poor return. Among the three vendors, StockFlow ERP-Lite has the best NPV and payback on cost alone, but it has no native barcode module and so fails a mandatory requirement. Once the functional scorecard (Document 4) is applied, Warehouse360 gives the best balance of NPV, payback period and fit and is the recommended shortlist leader, with NexusWMS as the fallback if Warehouse360 does not clear the security and reference-check gate in due diligence.</t>
  </si>
  <si>
    <t xml:space="preserve">Key risk to flag</t>
  </si>
  <si>
    <t xml:space="preserve">All three vendor cost lines are Business-Analyst estimates from a market scan, not formal quotes — the RFP (Document 3) is the mechanism to get firm, comparable pricing before this business case is finalized for sign-off.</t>
  </si>
</sst>
</file>

<file path=xl/styles.xml><?xml version="1.0" encoding="utf-8"?>
<styleSheet xmlns="http://schemas.openxmlformats.org/spreadsheetml/2006/main">
  <numFmts count="4">
    <numFmt numFmtId="164" formatCode="General"/>
    <numFmt numFmtId="165" formatCode="0.0%"/>
    <numFmt numFmtId="166" formatCode="#,##0.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color rgb="FF595959"/>
      <name val="Arial"/>
      <family val="0"/>
      <charset val="1"/>
    </font>
    <font>
      <b val="true"/>
      <sz val="11"/>
      <name val="Arial"/>
      <family val="0"/>
      <charset val="1"/>
    </font>
    <font>
      <i val="true"/>
      <sz val="9"/>
      <color rgb="FF595959"/>
      <name val="Cambria"/>
      <family val="0"/>
      <charset val="1"/>
    </font>
    <font>
      <i val="true"/>
      <sz val="10"/>
      <name val="Arial"/>
      <family val="0"/>
      <charset val="1"/>
    </font>
    <font>
      <b val="true"/>
      <sz val="10"/>
      <name val="Arial"/>
      <family val="0"/>
      <charset val="1"/>
    </font>
    <font>
      <b val="true"/>
      <sz val="11"/>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CE6F1"/>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true" applyProtection="false">
      <alignment horizontal="right" vertical="bottom" textRotation="0" wrapText="false" indent="0" shrinkToFit="false"/>
      <protection locked="true" hidden="false"/>
    </xf>
    <xf numFmtId="167" fontId="13" fillId="4"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40"/>
    <col collapsed="false" customWidth="true" hidden="false" outlineLevel="0" max="5" min="4" style="0" width="10"/>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3" t="s">
        <v>3</v>
      </c>
      <c r="C5" s="3" t="s">
        <v>4</v>
      </c>
    </row>
    <row r="6" customFormat="false" ht="15" hidden="false" customHeight="false" outlineLevel="0" collapsed="false">
      <c r="A6" s="4" t="s">
        <v>5</v>
      </c>
      <c r="B6" s="5" t="n">
        <v>0.12</v>
      </c>
      <c r="C6" s="6" t="s">
        <v>6</v>
      </c>
    </row>
    <row r="7" customFormat="false" ht="15" hidden="false" customHeight="false" outlineLevel="0" collapsed="false">
      <c r="A7" s="4" t="s">
        <v>7</v>
      </c>
      <c r="B7" s="7" t="n">
        <v>5</v>
      </c>
      <c r="C7" s="6" t="s">
        <v>8</v>
      </c>
    </row>
    <row r="8" customFormat="false" ht="15" hidden="false" customHeight="false" outlineLevel="0" collapsed="false">
      <c r="A8" s="4" t="s">
        <v>9</v>
      </c>
      <c r="B8" s="7" t="s">
        <v>10</v>
      </c>
      <c r="C8" s="6" t="s">
        <v>11</v>
      </c>
    </row>
    <row r="9" customFormat="false" ht="15" hidden="false" customHeight="false" outlineLevel="0" collapsed="false">
      <c r="A9" s="4" t="s">
        <v>12</v>
      </c>
      <c r="B9" s="7" t="n">
        <v>450</v>
      </c>
      <c r="C9" s="6" t="s">
        <v>13</v>
      </c>
    </row>
    <row r="10" customFormat="false" ht="15" hidden="false" customHeight="false" outlineLevel="0" collapsed="false">
      <c r="A10" s="4" t="s">
        <v>14</v>
      </c>
      <c r="B10" s="7" t="n">
        <v>6.5</v>
      </c>
      <c r="C10" s="6" t="s">
        <v>15</v>
      </c>
    </row>
    <row r="11" customFormat="false" ht="15" hidden="false" customHeight="false" outlineLevel="0" collapsed="false">
      <c r="A11" s="4" t="s">
        <v>16</v>
      </c>
      <c r="B11" s="7" t="n">
        <v>18</v>
      </c>
      <c r="C11" s="6" t="s">
        <v>17</v>
      </c>
    </row>
    <row r="13" customFormat="false" ht="15" hidden="false" customHeight="false" outlineLevel="0" collapsed="false">
      <c r="A13" s="8"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5" min="3" style="0" width="14"/>
    <col collapsed="false" customWidth="true" hidden="false" outlineLevel="0" max="6" min="6" style="0" width="40"/>
  </cols>
  <sheetData>
    <row r="1" customFormat="false" ht="17.35" hidden="false" customHeight="false" outlineLevel="0" collapsed="false">
      <c r="A1" s="1" t="s">
        <v>19</v>
      </c>
    </row>
    <row r="2" customFormat="false" ht="15" hidden="false" customHeight="false" outlineLevel="0" collapsed="false">
      <c r="A2" s="2" t="s">
        <v>20</v>
      </c>
    </row>
    <row r="5" customFormat="false" ht="46.25" hidden="false" customHeight="false" outlineLevel="0" collapsed="false">
      <c r="A5" s="3" t="s">
        <v>21</v>
      </c>
      <c r="B5" s="3" t="s">
        <v>22</v>
      </c>
      <c r="C5" s="3" t="s">
        <v>23</v>
      </c>
      <c r="D5" s="3" t="s">
        <v>24</v>
      </c>
      <c r="E5" s="3" t="s">
        <v>25</v>
      </c>
      <c r="F5" s="3" t="s">
        <v>26</v>
      </c>
    </row>
    <row r="6" customFormat="false" ht="23.85" hidden="false" customHeight="false" outlineLevel="0" collapsed="false">
      <c r="A6" s="9" t="s">
        <v>27</v>
      </c>
      <c r="B6" s="9" t="s">
        <v>28</v>
      </c>
      <c r="C6" s="10" t="n">
        <v>1.6</v>
      </c>
      <c r="D6" s="10" t="n">
        <v>1.3</v>
      </c>
      <c r="E6" s="9" t="s">
        <v>29</v>
      </c>
      <c r="F6" s="9" t="s">
        <v>30</v>
      </c>
    </row>
    <row r="7" customFormat="false" ht="35.05" hidden="false" customHeight="false" outlineLevel="0" collapsed="false">
      <c r="A7" s="9" t="s">
        <v>31</v>
      </c>
      <c r="B7" s="9" t="s">
        <v>32</v>
      </c>
      <c r="C7" s="10" t="n">
        <v>32</v>
      </c>
      <c r="D7" s="10" t="n">
        <v>24</v>
      </c>
      <c r="E7" s="9" t="s">
        <v>33</v>
      </c>
      <c r="F7" s="9" t="s">
        <v>34</v>
      </c>
    </row>
    <row r="8" customFormat="false" ht="35.05" hidden="false" customHeight="false" outlineLevel="0" collapsed="false">
      <c r="A8" s="9" t="s">
        <v>35</v>
      </c>
      <c r="B8" s="9" t="s">
        <v>36</v>
      </c>
      <c r="C8" s="10" t="n">
        <v>14</v>
      </c>
      <c r="D8" s="10" t="n">
        <v>10</v>
      </c>
      <c r="E8" s="9" t="s">
        <v>29</v>
      </c>
      <c r="F8" s="9" t="s">
        <v>37</v>
      </c>
    </row>
    <row r="9" customFormat="false" ht="35.05" hidden="false" customHeight="false" outlineLevel="0" collapsed="false">
      <c r="A9" s="9" t="s">
        <v>38</v>
      </c>
      <c r="B9" s="9" t="s">
        <v>39</v>
      </c>
      <c r="C9" s="10" t="n">
        <v>20</v>
      </c>
      <c r="D9" s="10" t="n">
        <v>15</v>
      </c>
      <c r="E9" s="9" t="s">
        <v>40</v>
      </c>
      <c r="F9" s="9" t="s">
        <v>41</v>
      </c>
    </row>
    <row r="10" customFormat="false" ht="23.85" hidden="false" customHeight="false" outlineLevel="0" collapsed="false">
      <c r="A10" s="9" t="s">
        <v>42</v>
      </c>
      <c r="B10" s="9" t="s">
        <v>43</v>
      </c>
      <c r="C10" s="10" t="n">
        <v>9</v>
      </c>
      <c r="D10" s="10" t="n">
        <v>6</v>
      </c>
      <c r="E10" s="9" t="s">
        <v>29</v>
      </c>
      <c r="F10" s="9" t="s">
        <v>44</v>
      </c>
    </row>
    <row r="11" customFormat="false" ht="23.85" hidden="false" customHeight="false" outlineLevel="0" collapsed="false">
      <c r="A11" s="9" t="s">
        <v>45</v>
      </c>
      <c r="B11" s="9" t="s">
        <v>46</v>
      </c>
      <c r="C11" s="10" t="n">
        <v>7</v>
      </c>
      <c r="D11" s="10" t="n">
        <v>5</v>
      </c>
      <c r="E11" s="9" t="s">
        <v>29</v>
      </c>
      <c r="F11" s="9" t="s">
        <v>47</v>
      </c>
    </row>
    <row r="12" customFormat="false" ht="23.85" hidden="false" customHeight="false" outlineLevel="0" collapsed="false">
      <c r="A12" s="9" t="s">
        <v>48</v>
      </c>
      <c r="B12" s="9" t="s">
        <v>49</v>
      </c>
      <c r="C12" s="10" t="n">
        <v>13</v>
      </c>
      <c r="D12" s="10" t="n">
        <v>9</v>
      </c>
      <c r="E12" s="9" t="s">
        <v>29</v>
      </c>
      <c r="F12" s="9" t="s">
        <v>50</v>
      </c>
    </row>
    <row r="13" customFormat="false" ht="15" hidden="false" customHeight="false" outlineLevel="0" collapsed="false">
      <c r="A13" s="11" t="s">
        <v>51</v>
      </c>
      <c r="B13" s="12"/>
      <c r="C13" s="13" t="n">
        <f aca="false">SUM(C6:C12)</f>
        <v>96.6</v>
      </c>
      <c r="D13" s="13" t="n">
        <f aca="false">SUM(D6:D12)</f>
        <v>70.3</v>
      </c>
      <c r="E13" s="12"/>
      <c r="F13" s="12"/>
    </row>
    <row r="15" customFormat="false" ht="15" hidden="false" customHeight="false" outlineLevel="0" collapsed="false">
      <c r="A15" s="14" t="s">
        <v>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5"/>
  </cols>
  <sheetData>
    <row r="1" customFormat="false" ht="17.35" hidden="false" customHeight="false" outlineLevel="0" collapsed="false">
      <c r="A1" s="1" t="s">
        <v>53</v>
      </c>
    </row>
    <row r="2" customFormat="false" ht="15" hidden="false" customHeight="false" outlineLevel="0" collapsed="false">
      <c r="A2" s="2" t="s">
        <v>54</v>
      </c>
    </row>
    <row r="4" customFormat="false" ht="35.05" hidden="false" customHeight="false" outlineLevel="0" collapsed="false">
      <c r="A4" s="3" t="s">
        <v>55</v>
      </c>
      <c r="B4" s="3" t="s">
        <v>56</v>
      </c>
      <c r="C4" s="3" t="s">
        <v>57</v>
      </c>
      <c r="D4" s="3" t="s">
        <v>58</v>
      </c>
      <c r="E4" s="3" t="s">
        <v>59</v>
      </c>
      <c r="F4" s="3" t="s">
        <v>60</v>
      </c>
    </row>
    <row r="5" customFormat="false" ht="15" hidden="false" customHeight="false" outlineLevel="0" collapsed="false">
      <c r="A5" s="4" t="s">
        <v>61</v>
      </c>
      <c r="B5" s="15" t="n">
        <v>0</v>
      </c>
      <c r="C5" s="15" t="n">
        <v>-150</v>
      </c>
      <c r="D5" s="15" t="n">
        <v>-40</v>
      </c>
      <c r="E5" s="15" t="n">
        <v>-25</v>
      </c>
      <c r="F5" s="15" t="n">
        <v>-12</v>
      </c>
    </row>
    <row r="6" customFormat="false" ht="15" hidden="false" customHeight="false" outlineLevel="0" collapsed="false">
      <c r="A6" s="4" t="s">
        <v>62</v>
      </c>
      <c r="B6" s="15" t="n">
        <v>-18</v>
      </c>
      <c r="C6" s="15" t="n">
        <v>-35</v>
      </c>
      <c r="D6" s="15" t="n">
        <v>-28</v>
      </c>
      <c r="E6" s="15" t="n">
        <v>-18</v>
      </c>
      <c r="F6" s="15" t="n">
        <v>-9</v>
      </c>
    </row>
    <row r="7" customFormat="false" ht="15" hidden="false" customHeight="false" outlineLevel="0" collapsed="false">
      <c r="A7" s="4" t="s">
        <v>63</v>
      </c>
      <c r="B7" s="15" t="n">
        <v>0</v>
      </c>
      <c r="C7" s="15" t="n">
        <f aca="false">'Benefit Quantification'!D13</f>
        <v>70.3</v>
      </c>
      <c r="D7" s="15" t="n">
        <f aca="false">'Benefit Quantification'!D13</f>
        <v>70.3</v>
      </c>
      <c r="E7" s="15" t="n">
        <f aca="false">'Benefit Quantification'!D13*0.94</f>
        <v>66.082</v>
      </c>
      <c r="F7" s="15" t="n">
        <f aca="false">'Benefit Quantification'!D13-('Benefit Quantification'!D9*0.6)</f>
        <v>61.3</v>
      </c>
    </row>
    <row r="9" customFormat="false" ht="32.8" hidden="false" customHeight="true" outlineLevel="0" collapsed="false">
      <c r="A9" s="16" t="s">
        <v>64</v>
      </c>
      <c r="B9" s="16"/>
      <c r="C9" s="16"/>
      <c r="D9" s="16"/>
      <c r="E9" s="16"/>
      <c r="F9" s="16"/>
    </row>
    <row r="11" customFormat="false" ht="35.05" hidden="false" customHeight="false" outlineLevel="0" collapsed="false">
      <c r="A11" s="3" t="s">
        <v>65</v>
      </c>
      <c r="B11" s="3" t="s">
        <v>56</v>
      </c>
      <c r="C11" s="3" t="s">
        <v>57</v>
      </c>
      <c r="D11" s="3" t="s">
        <v>58</v>
      </c>
      <c r="E11" s="3" t="s">
        <v>59</v>
      </c>
      <c r="F11" s="3" t="s">
        <v>60</v>
      </c>
    </row>
    <row r="12" customFormat="false" ht="15" hidden="false" customHeight="false" outlineLevel="0" collapsed="false">
      <c r="A12" s="4" t="s">
        <v>66</v>
      </c>
      <c r="B12" s="17" t="n">
        <f aca="false">B5</f>
        <v>0</v>
      </c>
      <c r="C12" s="17" t="n">
        <f aca="false">C5</f>
        <v>-150</v>
      </c>
      <c r="D12" s="17" t="n">
        <f aca="false">D5</f>
        <v>-40</v>
      </c>
      <c r="E12" s="17" t="n">
        <f aca="false">E5</f>
        <v>-25</v>
      </c>
      <c r="F12" s="17" t="n">
        <f aca="false">F5</f>
        <v>-12</v>
      </c>
    </row>
    <row r="13" customFormat="false" ht="15" hidden="false" customHeight="false" outlineLevel="0" collapsed="false">
      <c r="A13" s="4" t="s">
        <v>67</v>
      </c>
      <c r="B13" s="17" t="n">
        <f aca="false">B6</f>
        <v>-18</v>
      </c>
      <c r="C13" s="17" t="n">
        <f aca="false">C6+C7*0.4</f>
        <v>-6.88</v>
      </c>
      <c r="D13" s="17" t="n">
        <f aca="false">D6+D7</f>
        <v>42.3</v>
      </c>
      <c r="E13" s="17" t="n">
        <f aca="false">E6+E7</f>
        <v>48.082</v>
      </c>
      <c r="F13" s="17" t="n">
        <f aca="false">F6+F7</f>
        <v>52.3</v>
      </c>
    </row>
    <row r="14" customFormat="false" ht="15" hidden="false" customHeight="false" outlineLevel="0" collapsed="false">
      <c r="A14" s="4" t="s">
        <v>68</v>
      </c>
      <c r="B14" s="17" t="n">
        <f aca="false">B6</f>
        <v>-18</v>
      </c>
      <c r="C14" s="17" t="n">
        <f aca="false">C6+C7</f>
        <v>35.3</v>
      </c>
      <c r="D14" s="17" t="n">
        <f aca="false">D6+D7</f>
        <v>42.3</v>
      </c>
      <c r="E14" s="17" t="n">
        <f aca="false">E6+E7</f>
        <v>48.082</v>
      </c>
      <c r="F14" s="17" t="n">
        <f aca="false">F6+F7</f>
        <v>52.3</v>
      </c>
    </row>
    <row r="15" customFormat="false" ht="15" hidden="false" customHeight="false" outlineLevel="0" collapsed="false">
      <c r="A15" s="4" t="s">
        <v>69</v>
      </c>
      <c r="B15" s="17" t="n">
        <f aca="false">B6</f>
        <v>-18</v>
      </c>
      <c r="C15" s="17" t="n">
        <f aca="false">C6+C7</f>
        <v>35.3</v>
      </c>
      <c r="D15" s="17" t="n">
        <f aca="false">D6+D7</f>
        <v>42.3</v>
      </c>
      <c r="E15" s="17" t="n">
        <f aca="false">E6+E7</f>
        <v>48.082</v>
      </c>
      <c r="F15" s="17" t="n">
        <f aca="false">F6+F7</f>
        <v>52.3</v>
      </c>
    </row>
    <row r="16" customFormat="false" ht="15" hidden="false" customHeight="false" outlineLevel="0" collapsed="false">
      <c r="A16" s="4" t="s">
        <v>70</v>
      </c>
      <c r="B16" s="17" t="n">
        <f aca="false">B6</f>
        <v>-18</v>
      </c>
      <c r="C16" s="17" t="n">
        <f aca="false">C6+C7</f>
        <v>35.3</v>
      </c>
      <c r="D16" s="17" t="n">
        <f aca="false">D6+D7</f>
        <v>42.3</v>
      </c>
      <c r="E16" s="17" t="n">
        <f aca="false">E6+E7</f>
        <v>48.082</v>
      </c>
      <c r="F16" s="17" t="n">
        <f aca="false">F6+F7</f>
        <v>52.3</v>
      </c>
    </row>
    <row r="17" customFormat="false" ht="15" hidden="false" customHeight="false" outlineLevel="0" collapsed="false">
      <c r="A17" s="4" t="s">
        <v>71</v>
      </c>
      <c r="B17" s="17" t="n">
        <f aca="false">B6</f>
        <v>-18</v>
      </c>
      <c r="C17" s="17" t="n">
        <f aca="false">C6+C7</f>
        <v>35.3</v>
      </c>
      <c r="D17" s="17" t="n">
        <f aca="false">D6+D7</f>
        <v>42.3</v>
      </c>
      <c r="E17" s="17" t="n">
        <f aca="false">E6+E7</f>
        <v>48.082</v>
      </c>
      <c r="F17" s="17" t="n">
        <f aca="false">F6+F7</f>
        <v>52.3</v>
      </c>
    </row>
    <row r="19" customFormat="false" ht="35.05" hidden="false" customHeight="false" outlineLevel="0" collapsed="false">
      <c r="A19" s="3" t="s">
        <v>72</v>
      </c>
      <c r="B19" s="3" t="s">
        <v>56</v>
      </c>
      <c r="C19" s="3" t="s">
        <v>57</v>
      </c>
      <c r="D19" s="3" t="s">
        <v>58</v>
      </c>
      <c r="E19" s="3" t="s">
        <v>59</v>
      </c>
      <c r="F19" s="3" t="s">
        <v>60</v>
      </c>
    </row>
    <row r="20" customFormat="false" ht="15" hidden="false" customHeight="false" outlineLevel="0" collapsed="false">
      <c r="A20" s="18" t="s">
        <v>73</v>
      </c>
      <c r="B20" s="19" t="n">
        <f aca="false">B12</f>
        <v>0</v>
      </c>
      <c r="C20" s="19" t="n">
        <f aca="false">C12</f>
        <v>-150</v>
      </c>
      <c r="D20" s="19" t="n">
        <f aca="false">D12</f>
        <v>-40</v>
      </c>
      <c r="E20" s="19" t="n">
        <f aca="false">E12</f>
        <v>-25</v>
      </c>
      <c r="F20" s="19" t="n">
        <f aca="false">F12</f>
        <v>-12</v>
      </c>
    </row>
    <row r="21" customFormat="false" ht="15" hidden="false" customHeight="false" outlineLevel="0" collapsed="false">
      <c r="A21" s="18" t="s">
        <v>74</v>
      </c>
      <c r="B21" s="19" t="n">
        <f aca="false">B20+B13</f>
        <v>-18</v>
      </c>
      <c r="C21" s="19" t="n">
        <f aca="false">C20+C13</f>
        <v>-156.88</v>
      </c>
      <c r="D21" s="19" t="n">
        <f aca="false">D20+D13</f>
        <v>2.3</v>
      </c>
      <c r="E21" s="19" t="n">
        <f aca="false">E20+E13</f>
        <v>23.082</v>
      </c>
      <c r="F21" s="19" t="n">
        <f aca="false">F20+F13</f>
        <v>40.3</v>
      </c>
    </row>
    <row r="22" customFormat="false" ht="15" hidden="false" customHeight="false" outlineLevel="0" collapsed="false">
      <c r="A22" s="18" t="s">
        <v>75</v>
      </c>
      <c r="B22" s="19" t="n">
        <f aca="false">B21+B14</f>
        <v>-36</v>
      </c>
      <c r="C22" s="19" t="n">
        <f aca="false">C21+C14</f>
        <v>-121.58</v>
      </c>
      <c r="D22" s="19" t="n">
        <f aca="false">D21+D14</f>
        <v>44.6</v>
      </c>
      <c r="E22" s="19" t="n">
        <f aca="false">E21+E14</f>
        <v>71.164</v>
      </c>
      <c r="F22" s="19" t="n">
        <f aca="false">F21+F14</f>
        <v>92.6</v>
      </c>
    </row>
    <row r="23" customFormat="false" ht="15" hidden="false" customHeight="false" outlineLevel="0" collapsed="false">
      <c r="A23" s="18" t="s">
        <v>76</v>
      </c>
      <c r="B23" s="19" t="n">
        <f aca="false">B22+B15</f>
        <v>-54</v>
      </c>
      <c r="C23" s="19" t="n">
        <f aca="false">C22+C15</f>
        <v>-86.28</v>
      </c>
      <c r="D23" s="19" t="n">
        <f aca="false">D22+D15</f>
        <v>86.9</v>
      </c>
      <c r="E23" s="19" t="n">
        <f aca="false">E22+E15</f>
        <v>119.246</v>
      </c>
      <c r="F23" s="19" t="n">
        <f aca="false">F22+F15</f>
        <v>144.9</v>
      </c>
    </row>
    <row r="24" customFormat="false" ht="15" hidden="false" customHeight="false" outlineLevel="0" collapsed="false">
      <c r="A24" s="18" t="s">
        <v>77</v>
      </c>
      <c r="B24" s="19" t="n">
        <f aca="false">B23+B16</f>
        <v>-72</v>
      </c>
      <c r="C24" s="19" t="n">
        <f aca="false">C23+C16</f>
        <v>-50.98</v>
      </c>
      <c r="D24" s="19" t="n">
        <f aca="false">D23+D16</f>
        <v>129.2</v>
      </c>
      <c r="E24" s="19" t="n">
        <f aca="false">E23+E16</f>
        <v>167.328</v>
      </c>
      <c r="F24" s="19" t="n">
        <f aca="false">F23+F16</f>
        <v>197.2</v>
      </c>
    </row>
    <row r="25" customFormat="false" ht="15" hidden="false" customHeight="false" outlineLevel="0" collapsed="false">
      <c r="A25" s="18" t="s">
        <v>78</v>
      </c>
      <c r="B25" s="19" t="n">
        <f aca="false">B24+B17</f>
        <v>-90</v>
      </c>
      <c r="C25" s="19" t="n">
        <f aca="false">C24+C17</f>
        <v>-15.68</v>
      </c>
      <c r="D25" s="19" t="n">
        <f aca="false">D24+D17</f>
        <v>171.5</v>
      </c>
      <c r="E25" s="19" t="n">
        <f aca="false">E24+E17</f>
        <v>215.41</v>
      </c>
      <c r="F25" s="19" t="n">
        <f aca="false">F24+F17</f>
        <v>249.5</v>
      </c>
    </row>
    <row r="26" customFormat="false" ht="15" hidden="false" customHeight="false" outlineLevel="0" collapsed="false">
      <c r="A26" s="20"/>
      <c r="B26" s="21"/>
      <c r="C26" s="21"/>
      <c r="D26" s="21"/>
      <c r="E26" s="21"/>
      <c r="F26" s="21"/>
    </row>
    <row r="27" customFormat="false" ht="15" hidden="false" customHeight="false" outlineLevel="0" collapsed="false">
      <c r="A27" s="20" t="s">
        <v>79</v>
      </c>
      <c r="B27" s="22" t="n">
        <f aca="false">B12+NPV(Assumptions!$B$6,B13:B17)</f>
        <v>-64.8859716422101</v>
      </c>
      <c r="C27" s="22" t="n">
        <f aca="false">C12+NPV(Assumptions!$B$6,C13:C17)</f>
        <v>-60.4121143429356</v>
      </c>
      <c r="D27" s="22" t="n">
        <f aca="false">D12+NPV(Assumptions!$B$6,D13:D17)</f>
        <v>112.482033359194</v>
      </c>
      <c r="E27" s="22" t="n">
        <f aca="false">E12+NPV(Assumptions!$B$6,E13:E17)</f>
        <v>148.324849361152</v>
      </c>
      <c r="F27" s="22" t="n">
        <f aca="false">F12+NPV(Assumptions!$B$6,F13:F17)</f>
        <v>176.529795382644</v>
      </c>
    </row>
    <row r="28" customFormat="false" ht="15" hidden="false" customHeight="false" outlineLevel="0" collapsed="false">
      <c r="A28" s="0" t="s">
        <v>80</v>
      </c>
      <c r="B28" s="0" t="str">
        <f aca="false">IF(B21&gt;=0,ROUND(1+(-B20)/B13,1),IF(B22&gt;=0,ROUND(2+(-B21)/B14,1),IF(B23&gt;=0,ROUND(3+(-B22)/B15,1),IF(B24&gt;=0,ROUND(4+(-B23)/B16,1),IF(B25&gt;=0,ROUND(5+(-B24)/B17,1),"Beyond 5 yrs")))))</f>
        <v>Beyond 5 yrs</v>
      </c>
      <c r="C28" s="0" t="str">
        <f aca="false">IF(C21&gt;=0,ROUND(1+(-C20)/C13,1),IF(C22&gt;=0,ROUND(2+(-C21)/C14,1),IF(C23&gt;=0,ROUND(3+(-C22)/C15,1),IF(C24&gt;=0,ROUND(4+(-C23)/C16,1),IF(C25&gt;=0,ROUND(5+(-C24)/C17,1),"Beyond 5 yrs")))))</f>
        <v>Beyond 5 yrs</v>
      </c>
      <c r="D28" s="0" t="n">
        <f aca="false">IF(D21&gt;=0,ROUND(1+(-D20)/D13,1),IF(D22&gt;=0,ROUND(2+(-D21)/D14,1),IF(D23&gt;=0,ROUND(3+(-D22)/D15,1),IF(D24&gt;=0,ROUND(4+(-D23)/D16,1),IF(D25&gt;=0,ROUND(5+(-D24)/D17,1),"Beyond 5 yrs")))))</f>
        <v>1.9</v>
      </c>
      <c r="E28" s="0" t="n">
        <f aca="false">IF(E21&gt;=0,ROUND(1+(-E20)/E13,1),IF(E22&gt;=0,ROUND(2+(-E21)/E14,1),IF(E23&gt;=0,ROUND(3+(-E22)/E15,1),IF(E24&gt;=0,ROUND(4+(-E23)/E16,1),IF(E25&gt;=0,ROUND(5+(-E24)/E17,1),"Beyond 5 yrs")))))</f>
        <v>1.5</v>
      </c>
      <c r="F28" s="0" t="n">
        <f aca="false">IF(F21&gt;=0,ROUND(1+(-F20)/F13,1),IF(F22&gt;=0,ROUND(2+(-F21)/F14,1),IF(F23&gt;=0,ROUND(3+(-F22)/F15,1),IF(F24&gt;=0,ROUND(4+(-F23)/F16,1),IF(F25&gt;=0,ROUND(5+(-F24)/F17,1),"Beyond 5 yrs")))))</f>
        <v>1.2</v>
      </c>
    </row>
    <row r="30" customFormat="false" ht="15" hidden="false" customHeight="false" outlineLevel="0" collapsed="false">
      <c r="A30" s="23" t="s">
        <v>81</v>
      </c>
      <c r="B30" s="23"/>
      <c r="C30" s="23"/>
      <c r="D30" s="23"/>
      <c r="E30" s="23"/>
      <c r="F30" s="23"/>
    </row>
  </sheetData>
  <mergeCells count="2">
    <mergeCell ref="A9:F9"/>
    <mergeCell ref="A30:F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17.35" hidden="false" customHeight="false" outlineLevel="0" collapsed="false">
      <c r="A1" s="1" t="s">
        <v>82</v>
      </c>
    </row>
    <row r="3" customFormat="false" ht="15" hidden="false" customHeight="false" outlineLevel="0" collapsed="false">
      <c r="A3" s="24" t="s">
        <v>83</v>
      </c>
    </row>
    <row r="4" customFormat="false" ht="94.5" hidden="false" customHeight="true" outlineLevel="0" collapsed="false">
      <c r="A4" s="25" t="s">
        <v>84</v>
      </c>
    </row>
    <row r="6" customFormat="false" ht="15" hidden="false" customHeight="false" outlineLevel="0" collapsed="false">
      <c r="A6" s="24" t="s">
        <v>85</v>
      </c>
    </row>
    <row r="7" customFormat="false" ht="94.5" hidden="false" customHeight="true" outlineLevel="0" collapsed="false">
      <c r="A7" s="25" t="s">
        <v>86</v>
      </c>
    </row>
    <row r="9" customFormat="false" ht="15" hidden="false" customHeight="false" outlineLevel="0" collapsed="false">
      <c r="A9" s="24" t="s">
        <v>87</v>
      </c>
    </row>
    <row r="10" customFormat="false" ht="94.5" hidden="false" customHeight="true" outlineLevel="0" collapsed="false">
      <c r="A10" s="25" t="s">
        <v>88</v>
      </c>
    </row>
    <row r="12" customFormat="false" ht="15" hidden="false" customHeight="false" outlineLevel="0" collapsed="false">
      <c r="A12" s="24" t="s">
        <v>89</v>
      </c>
    </row>
    <row r="13" customFormat="false" ht="94.5" hidden="false" customHeight="true" outlineLevel="0" collapsed="false">
      <c r="A13" s="25"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2026-09-28T05:07:17Z</dcterms:created>
  <dc:creator>openpyxl</dc:creator>
  <dc:description/>
  <dc:language>en-US</dc:language>
  <cp:lastModifiedBy/>
  <dcterms:modified xsi:type="dcterms:W3CDTF">2026-09-28T05:07:17Z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